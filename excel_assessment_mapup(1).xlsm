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tish.Dongare\Downloads\"/>
    </mc:Choice>
  </mc:AlternateContent>
  <xr:revisionPtr revIDLastSave="0" documentId="8_{90A924E8-3499-449C-A854-9351090EE852}" xr6:coauthVersionLast="47" xr6:coauthVersionMax="47" xr10:uidLastSave="{00000000-0000-0000-0000-000000000000}"/>
  <bookViews>
    <workbookView xWindow="-110" yWindow="-110" windowWidth="19420" windowHeight="11500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F7" i="18"/>
  <c r="F8" i="18"/>
  <c r="F9" i="18"/>
  <c r="F10" i="18"/>
  <c r="F11" i="18"/>
  <c r="F28" i="18" s="1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29" i="18" s="1"/>
  <c r="E16" i="18"/>
  <c r="E28" i="18" s="1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29" i="18" s="1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30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8" i="20"/>
  <c r="C29" i="20"/>
  <c r="C30" i="20"/>
  <c r="C31" i="20"/>
  <c r="C32" i="20"/>
  <c r="C33" i="20"/>
  <c r="C34" i="20"/>
  <c r="C35" i="20"/>
  <c r="C24" i="20"/>
  <c r="C25" i="20"/>
  <c r="C26" i="20"/>
  <c r="C27" i="20"/>
  <c r="C23" i="20"/>
  <c r="H42" i="1"/>
  <c r="F29" i="18" l="1"/>
  <c r="F30" i="18"/>
  <c r="E30" i="18"/>
  <c r="D30" i="18"/>
  <c r="D28" i="18"/>
  <c r="B28" i="18"/>
  <c r="C29" i="18"/>
  <c r="C28" i="18"/>
  <c r="B30" i="18"/>
  <c r="B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<sst xmlns="http://schemas.openxmlformats.org/spreadsheetml/2006/main" count="406" uniqueCount="183">
  <si>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</si>
  <si>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</si>
  <si>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</si>
  <si>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</si>
  <si>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</si>
  <si>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</si>
  <si>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</si>
  <si>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</si>
  <si>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</si>
  <si>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</si>
  <si>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</si>
  <si>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</si>
  <si>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</si>
  <si>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</si>
  <si>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</si>
  <si>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</si>
  <si>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</si>
  <si>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</si>
  <si>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</si>
  <si>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</si>
  <si>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</si>
  <si>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</si>
  <si>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</si>
  <si>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</si>
  <si>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</si>
  <si>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</si>
  <si>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</si>
  <si>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</si>
  <si>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</si>
  <si>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</si>
  <si>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</si>
  <si>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</si>
  <si>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</si>
  <si>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</si>
  <si>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</si>
  <si>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</si>
  <si>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</si>
  <si>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</si>
  <si>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</si>
  <si>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</si>
  <si>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</si>
  <si>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</si>
  <si>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</si>
  <si>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</si>
  <si>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</si>
  <si>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</si>
  <si>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</si>
  <si>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</si>
  <si>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</si>
  <si>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</si>
  <si>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</si>
  <si>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</si>
  <si>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</si>
  <si>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</si>
  <si>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</si>
  <si>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</si>
  <si>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</si>
  <si>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</si>
  <si>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</si>
  <si>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</si>
  <si>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</si>
  <si>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</si>
  <si>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</si>
  <si>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</si>
  <si>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</si>
  <si>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</si>
  <si>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</si>
  <si>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</si>
  <si>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</si>
  <si>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</si>
  <si>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</si>
  <si>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</si>
  <si>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</si>
  <si>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</si>
  <si>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</si>
  <si>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</si>
  <si>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</si>
  <si>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</si>
  <si>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</si>
  <si>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</si>
  <si>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</si>
  <si>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</si>
  <si>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</si>
  <si>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</si>
  <si>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</si>
  <si>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</si>
  <si>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</si>
  <si>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</si>
  <si>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</si>
  <si>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</si>
  <si>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</si>
  <si>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</si>
  <si>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</si>
  <si>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</si>
  <si>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</si>
  <si>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</si>
  <si>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</si>
  <si>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</si>
  <si>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</si>
  <si>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</si>
  <si>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</si>
  <si>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</si>
  <si>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</si>
  <si>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</si>
  <si>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</si>
  <si>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</si>
  <si>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</si>
  <si>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</si>
  <si>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</si>
  <si>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</si>
  <si>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</si>
  <si>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</si>
  <si>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</si>
  <si>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</si>
  <si>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</si>
  <si>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</si>
  <si>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</si>
  <si>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</si>
  <si>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</si>
  <si>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</si>
  <si>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</si>
  <si>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</si>
  <si>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</si>
  <si>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</si>
  <si>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</si>
  <si>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</si>
  <si>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</si>
  <si>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</si>
  <si>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</si>
  <si>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</si>
  <si>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</si>
  <si>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</si>
  <si>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</si>
  <si>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</si>
  <si>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</si>
  <si>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</si>
  <si>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</si>
  <si>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</si>
  <si>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</si>
  <si>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</si>
  <si>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</si>
  <si>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</si>
  <si>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</si>
  <si>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</si>
  <si>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</si>
  <si>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</si>
  <si>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</si>
  <si>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</si>
  <si>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</si>
  <si>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</si>
  <si>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</si>
  <si>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</si>
  <si>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</si>
  <si>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</si>
  <si>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</si>
  <si>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</si>
  <si>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</si>
  <si>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</si>
  <si>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</si>
  <si>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</si>
  <si>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</si>
  <si>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</si>
  <si>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</si>
  <si>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</si>
  <si>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</si>
  <si>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</si>
  <si>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</si>
  <si>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</si>
  <si>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</si>
  <si>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</si>
  <si>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</si>
  <si>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</si>
  <si>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</si>
  <si>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</si>
  <si>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</si>
  <si>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</si>
  <si>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formula=SUMIF(H1:H40, "&gt;20")</t>
  </si>
  <si>
    <t>Go to the View tab.
Click on Freeze Panes and select Freeze Top Row</t>
  </si>
  <si>
    <t>Select and right clcick all the cells in "dates"column. Choose Format Cells.</t>
  </si>
  <si>
    <t>Data -&gt;Click on Text to Columns.-&gt;Choose the Delimited</t>
  </si>
  <si>
    <t>This will split the data from one cell into multiple cells, based on the delimiter choosed(-).</t>
  </si>
  <si>
    <t>Red, Green(Used Conditional Formatting)</t>
  </si>
  <si>
    <t>SUM(IFERROR(C12:C21, 20))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</si>
</sst>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8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5" x14ac:dyDescent="0.35">
      <c r="A4" s="2" t="s">
        <v>175</v>
      </c>
      <c r="C4" s="1"/>
    </row>
    <row r="5" spans="1:3" x14ac:dyDescent="0.3">
      <c r="A5" s="2" t="s">
        <v>150</v>
      </c>
    </row>
    <row r="8" spans="1:3" x14ac:dyDescent="0.3">
      <c r="A8" s="2" t="s">
        <v>171</v>
      </c>
    </row>
    <row r="9" spans="1:3" x14ac:dyDescent="0.3">
      <c r="A9" s="35" t="s">
        <v>169</v>
      </c>
      <c r="B9" s="25" t="s">
        <v>167</v>
      </c>
    </row>
    <row r="10" spans="1:3" x14ac:dyDescent="0.3">
      <c r="A10" s="34" t="s">
        <v>170</v>
      </c>
      <c r="B10" s="36">
        <v>25</v>
      </c>
    </row>
    <row r="11" spans="1:3" x14ac:dyDescent="0.3">
      <c r="A11" s="34" t="s">
        <v>54</v>
      </c>
      <c r="B11" s="36">
        <v>30</v>
      </c>
    </row>
    <row r="12" spans="1:3" x14ac:dyDescent="0.3">
      <c r="A12" s="34" t="s">
        <v>55</v>
      </c>
      <c r="B12" s="36">
        <v>10</v>
      </c>
    </row>
    <row r="13" spans="1:3" x14ac:dyDescent="0.3">
      <c r="A13" s="34" t="s">
        <v>84</v>
      </c>
      <c r="B13" s="36">
        <v>20</v>
      </c>
    </row>
    <row r="14" spans="1:3" x14ac:dyDescent="0.3">
      <c r="A14" s="34" t="s">
        <v>97</v>
      </c>
      <c r="B14" s="36">
        <v>40</v>
      </c>
    </row>
    <row r="15" spans="1:3" x14ac:dyDescent="0.3">
      <c r="A15" s="37" t="s">
        <v>168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M1" zoomScaleNormal="100" workbookViewId="0">
      <pane ySplit="1" topLeftCell="A2" activePane="bottomLeft" state="frozen"/>
      <selection pane="bottomLeft" activeCell="G2" sqref="G2:G4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3" t="s">
        <v>104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5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5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2" spans="1:24" x14ac:dyDescent="0.35">
      <c r="H42" s="1">
        <f>SUMIF(H1:H40, "&gt;20")</f>
        <v>1473.0000000000002</v>
      </c>
    </row>
  </sheetData>
  <conditionalFormatting sqref="A1:A1048576">
    <cfRule type="duplicateValues" dxfId="1" priority="4"/>
  </conditionalFormatting>
  <conditionalFormatting sqref="B1:B1048576">
    <cfRule type="duplicateValues" dxfId="0" priority="3"/>
  </conditionalFormatting>
  <conditionalFormatting sqref="A1:X40">
    <cfRule type="colorScale" priority="2">
      <colorScale>
        <cfvo type="num" val="-1"/>
        <cfvo type="num" val="0"/>
        <color rgb="FFFF0000"/>
        <color rgb="FF92D050"/>
      </colorScale>
    </cfRule>
    <cfRule type="expression" priority="1">
      <formula>"A1=0"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E10" sqref="E10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40" style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46</v>
      </c>
      <c r="B1" s="4" t="s">
        <v>47</v>
      </c>
      <c r="C1" s="4" t="s">
        <v>44</v>
      </c>
      <c r="E1" s="4" t="s">
        <v>174</v>
      </c>
    </row>
    <row r="2" spans="1:5" x14ac:dyDescent="0.35">
      <c r="A2" s="2"/>
      <c r="B2" s="5" t="s">
        <v>158</v>
      </c>
      <c r="C2" s="2"/>
    </row>
    <row r="3" spans="1:5" x14ac:dyDescent="0.35">
      <c r="A3" s="6">
        <v>1</v>
      </c>
      <c r="B3" s="2" t="s">
        <v>106</v>
      </c>
      <c r="C3" s="2" t="s">
        <v>181</v>
      </c>
      <c r="E3" s="1">
        <v>5</v>
      </c>
    </row>
    <row r="4" spans="1:5" ht="39.5" x14ac:dyDescent="0.35">
      <c r="A4" s="6">
        <v>2</v>
      </c>
      <c r="B4" s="2" t="s">
        <v>45</v>
      </c>
      <c r="C4" s="45" t="s">
        <v>177</v>
      </c>
      <c r="E4" s="1">
        <v>5</v>
      </c>
    </row>
    <row r="5" spans="1:5" x14ac:dyDescent="0.35">
      <c r="A5" s="6">
        <v>3</v>
      </c>
      <c r="B5" s="2" t="s">
        <v>103</v>
      </c>
      <c r="C5" s="33" t="s">
        <v>176</v>
      </c>
      <c r="E5" s="1">
        <v>10</v>
      </c>
    </row>
    <row r="6" spans="1:5" ht="39.5" x14ac:dyDescent="0.35">
      <c r="A6" s="6">
        <v>4</v>
      </c>
      <c r="B6" s="2" t="s">
        <v>105</v>
      </c>
      <c r="C6" s="45" t="s">
        <v>178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I6" sqref="I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54</v>
      </c>
      <c r="B1" s="40" t="s">
        <v>162</v>
      </c>
    </row>
    <row r="2" spans="1:7" s="40" customFormat="1" ht="21" x14ac:dyDescent="0.5">
      <c r="B2" s="40" t="s">
        <v>159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160</v>
      </c>
      <c r="B4" s="1"/>
      <c r="C4" s="1"/>
      <c r="D4" s="1"/>
      <c r="E4" s="1"/>
      <c r="F4" s="1"/>
      <c r="G4" s="1"/>
    </row>
    <row r="5" spans="1:7" ht="14.5" x14ac:dyDescent="0.35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5" x14ac:dyDescent="0.35">
      <c r="A6" s="7" t="s">
        <v>40</v>
      </c>
      <c r="B6" s="1">
        <f>VLOOKUP(A6,Dataset!A:G,7,0)</f>
        <v>2.7</v>
      </c>
      <c r="C6" s="1">
        <f>VLOOKUP(A6,Dataset!A:N,14,0)</f>
        <v>7.6</v>
      </c>
      <c r="D6" s="1">
        <f>VLOOKUP(A6,Dataset!A:R,18,0)</f>
        <v>4.2</v>
      </c>
      <c r="E6" s="1">
        <f>VLOOKUP(A6,Dataset!A:T,20,0)</f>
        <v>8.9</v>
      </c>
      <c r="F6" s="1">
        <f>VLOOKUP(A6,Dataset!A:V,22,0)</f>
        <v>4.2</v>
      </c>
    </row>
    <row r="7" spans="1:7" ht="14.5" x14ac:dyDescent="0.35">
      <c r="A7" s="7" t="s">
        <v>4</v>
      </c>
      <c r="B7" s="1">
        <f>VLOOKUP(A7,Dataset!A:G,7,0)</f>
        <v>2.7</v>
      </c>
      <c r="C7" s="1">
        <f>VLOOKUP(A7,Dataset!A:N,14,0)</f>
        <v>7.6</v>
      </c>
      <c r="D7" s="1">
        <f>VLOOKUP(A7,Dataset!A:R,18,0)</f>
        <v>4.2</v>
      </c>
      <c r="E7" s="1">
        <f>VLOOKUP(A7,Dataset!A:T,20,0)</f>
        <v>8.9</v>
      </c>
      <c r="F7" s="1">
        <f>VLOOKUP(A7,Dataset!A:V,22,0)</f>
        <v>4.2</v>
      </c>
    </row>
    <row r="8" spans="1:7" ht="14.5" x14ac:dyDescent="0.35">
      <c r="A8" s="7" t="s">
        <v>7</v>
      </c>
      <c r="B8" s="1">
        <f>VLOOKUP(A8,Dataset!A:G,7,0)</f>
        <v>3.6</v>
      </c>
      <c r="C8" s="1">
        <f>VLOOKUP(A8,Dataset!A:N,14,0)</f>
        <v>11.1</v>
      </c>
      <c r="D8" s="1">
        <f>VLOOKUP(A8,Dataset!A:R,18,0)</f>
        <v>5.8</v>
      </c>
      <c r="E8" s="1">
        <f>VLOOKUP(A8,Dataset!A:T,20,0)</f>
        <v>12.2</v>
      </c>
      <c r="F8" s="1">
        <f>VLOOKUP(A8,Dataset!A:V,22,0)</f>
        <v>5.8</v>
      </c>
    </row>
    <row r="9" spans="1:7" ht="14.5" x14ac:dyDescent="0.35">
      <c r="A9" s="7" t="s">
        <v>8</v>
      </c>
      <c r="B9" s="1">
        <f>VLOOKUP(A9,Dataset!A:G,7,0)</f>
        <v>4.9000000000000004</v>
      </c>
      <c r="C9" s="1">
        <f>VLOOKUP(A9,Dataset!A:N,14,0)</f>
        <v>13.3</v>
      </c>
      <c r="D9" s="1">
        <f>VLOOKUP(A9,Dataset!A:R,18,0)</f>
        <v>8.1</v>
      </c>
      <c r="E9" s="1">
        <f>VLOOKUP(A9,Dataset!A:T,20,0)</f>
        <v>17</v>
      </c>
      <c r="F9" s="1">
        <f>VLOOKUP(A9,Dataset!A:V,22,0)</f>
        <v>8.1</v>
      </c>
    </row>
    <row r="10" spans="1:7" ht="14.5" x14ac:dyDescent="0.35">
      <c r="A10" s="7" t="s">
        <v>11</v>
      </c>
      <c r="B10" s="1">
        <f>VLOOKUP(A10,Dataset!A:G,7,0)</f>
        <v>9.4</v>
      </c>
      <c r="C10" s="1">
        <f>VLOOKUP(A10,Dataset!A:N,14,0)</f>
        <v>28.3</v>
      </c>
      <c r="D10" s="1">
        <f>VLOOKUP(A10,Dataset!A:R,18,0)</f>
        <v>16.100000000000001</v>
      </c>
      <c r="E10" s="1">
        <f>VLOOKUP(A10,Dataset!A:T,20,0)</f>
        <v>32.799999999999997</v>
      </c>
      <c r="F10" s="1">
        <f>VLOOKUP(A10,Dataset!A:V,22,0)</f>
        <v>16.100000000000001</v>
      </c>
    </row>
    <row r="11" spans="1:7" ht="14.5" x14ac:dyDescent="0.35">
      <c r="A11" s="7" t="s">
        <v>12</v>
      </c>
      <c r="B11" s="1">
        <f>VLOOKUP(A11,Dataset!A:G,7,0)</f>
        <v>11.6</v>
      </c>
      <c r="C11" s="1">
        <f>VLOOKUP(A11,Dataset!A:N,14,0)</f>
        <v>35.200000000000003</v>
      </c>
      <c r="D11" s="1">
        <f>VLOOKUP(A11,Dataset!A:R,18,0)</f>
        <v>21.3</v>
      </c>
      <c r="E11" s="1">
        <f>VLOOKUP(A11,Dataset!A:T,20,0)</f>
        <v>43</v>
      </c>
      <c r="F11" s="1">
        <f>VLOOKUP(A11,Dataset!A:V,22,0)</f>
        <v>21.3</v>
      </c>
    </row>
    <row r="12" spans="1:7" ht="14.5" x14ac:dyDescent="0.35">
      <c r="A12" s="7" t="s">
        <v>14</v>
      </c>
      <c r="B12" s="1">
        <f>VLOOKUP(A12,Dataset!A:G,7,0)</f>
        <v>18.399999999999999</v>
      </c>
      <c r="C12" s="1">
        <f>VLOOKUP(A12,Dataset!A:N,14,0)</f>
        <v>55.6</v>
      </c>
      <c r="D12" s="1">
        <f>VLOOKUP(A12,Dataset!A:R,18,0)</f>
        <v>33.799999999999997</v>
      </c>
      <c r="E12" s="1">
        <f>VLOOKUP(A12,Dataset!A:T,20,0)</f>
        <v>67.900000000000006</v>
      </c>
      <c r="F12" s="1">
        <f>VLOOKUP(A12,Dataset!A:V,22,0)</f>
        <v>33.799999999999997</v>
      </c>
    </row>
    <row r="13" spans="1:7" ht="14.5" x14ac:dyDescent="0.35">
      <c r="A13" s="7" t="s">
        <v>15</v>
      </c>
      <c r="B13" s="1">
        <f>VLOOKUP(A13,Dataset!A:G,7,0)</f>
        <v>0</v>
      </c>
      <c r="C13" s="1">
        <f>VLOOKUP(A13,Dataset!A:N,14,0)</f>
        <v>0</v>
      </c>
      <c r="D13" s="1">
        <f>VLOOKUP(A13,Dataset!A:R,18,0)</f>
        <v>0</v>
      </c>
      <c r="E13" s="1">
        <f>VLOOKUP(A13,Dataset!A:T,20,0)</f>
        <v>0</v>
      </c>
      <c r="F13" s="1">
        <f>VLOOKUP(A13,Dataset!A:V,22,0)</f>
        <v>0</v>
      </c>
    </row>
    <row r="14" spans="1:7" ht="14.5" x14ac:dyDescent="0.35">
      <c r="A14" s="7" t="s">
        <v>16</v>
      </c>
      <c r="B14" s="1">
        <f>VLOOKUP(A14,Dataset!A:G,7,0)</f>
        <v>21.9</v>
      </c>
      <c r="C14" s="1">
        <f>VLOOKUP(A14,Dataset!A:N,14,0)</f>
        <v>61.5</v>
      </c>
      <c r="D14" s="1">
        <f>VLOOKUP(A14,Dataset!A:R,18,0)</f>
        <v>40.1</v>
      </c>
      <c r="E14" s="1">
        <f>VLOOKUP(A14,Dataset!A:T,20,0)</f>
        <v>76.599999999999994</v>
      </c>
      <c r="F14" s="1">
        <f>VLOOKUP(A14,Dataset!A:V,22,0)</f>
        <v>40.1</v>
      </c>
    </row>
    <row r="15" spans="1:7" ht="14.5" x14ac:dyDescent="0.35">
      <c r="A15" s="7" t="s">
        <v>18</v>
      </c>
      <c r="B15" s="1">
        <f>VLOOKUP(A15,Dataset!A:G,7,0)</f>
        <v>26.8</v>
      </c>
      <c r="C15" s="1">
        <f>VLOOKUP(A15,Dataset!A:N,14,0)</f>
        <v>79.599999999999994</v>
      </c>
      <c r="D15" s="1">
        <f>VLOOKUP(A15,Dataset!A:R,18,0)</f>
        <v>47.9</v>
      </c>
      <c r="E15" s="1">
        <f>VLOOKUP(A15,Dataset!A:T,20,0)</f>
        <v>96.8</v>
      </c>
      <c r="F15" s="1">
        <f>VLOOKUP(A15,Dataset!A:V,22,0)</f>
        <v>47.9</v>
      </c>
    </row>
    <row r="16" spans="1:7" ht="14.5" x14ac:dyDescent="0.35">
      <c r="A16" s="7" t="s">
        <v>20</v>
      </c>
      <c r="B16" s="1">
        <f>VLOOKUP(A16,Dataset!A:G,7,0)</f>
        <v>28.5</v>
      </c>
      <c r="C16" s="1">
        <f>VLOOKUP(A16,Dataset!A:N,14,0)</f>
        <v>85.4</v>
      </c>
      <c r="D16" s="1">
        <f>VLOOKUP(A16,Dataset!A:R,18,0)</f>
        <v>52.3</v>
      </c>
      <c r="E16" s="1">
        <f>VLOOKUP(A16,Dataset!A:T,20,0)</f>
        <v>106.1</v>
      </c>
      <c r="F16" s="1">
        <f>VLOOKUP(A16,Dataset!A:V,22,0)</f>
        <v>52.3</v>
      </c>
    </row>
    <row r="17" spans="1:6" ht="14.5" x14ac:dyDescent="0.35">
      <c r="A17" s="7" t="s">
        <v>22</v>
      </c>
      <c r="B17" s="1">
        <f>VLOOKUP(A17,Dataset!A:G,7,0)</f>
        <v>30.7</v>
      </c>
      <c r="C17" s="1">
        <f>VLOOKUP(A17,Dataset!A:N,14,0)</f>
        <v>92.1</v>
      </c>
      <c r="D17" s="1">
        <f>VLOOKUP(A17,Dataset!A:R,18,0)</f>
        <v>57</v>
      </c>
      <c r="E17" s="1">
        <f>VLOOKUP(A17,Dataset!A:T,20,0)</f>
        <v>115.1</v>
      </c>
      <c r="F17" s="1">
        <f>VLOOKUP(A17,Dataset!A:V,22,0)</f>
        <v>57</v>
      </c>
    </row>
    <row r="18" spans="1:6" ht="14.5" x14ac:dyDescent="0.35">
      <c r="A18" s="7" t="s">
        <v>23</v>
      </c>
      <c r="B18" s="1">
        <f>VLOOKUP(A18,Dataset!A:G,7,0)</f>
        <v>33.799999999999997</v>
      </c>
      <c r="C18" s="1">
        <f>VLOOKUP(A18,Dataset!A:N,14,0)</f>
        <v>101.3</v>
      </c>
      <c r="D18" s="1">
        <f>VLOOKUP(A18,Dataset!A:R,18,0)</f>
        <v>61.4</v>
      </c>
      <c r="E18" s="1">
        <f>VLOOKUP(A18,Dataset!A:T,20,0)</f>
        <v>124.4</v>
      </c>
      <c r="F18" s="1">
        <f>VLOOKUP(A18,Dataset!A:V,22,0)</f>
        <v>61.4</v>
      </c>
    </row>
    <row r="19" spans="1:6" ht="14.5" x14ac:dyDescent="0.35">
      <c r="A19" s="7" t="s">
        <v>24</v>
      </c>
      <c r="B19" s="1">
        <f>VLOOKUP(A19,Dataset!A:G,7,0)</f>
        <v>34.700000000000003</v>
      </c>
      <c r="C19" s="1">
        <f>VLOOKUP(A19,Dataset!A:N,14,0)</f>
        <v>106.1</v>
      </c>
      <c r="D19" s="1">
        <f>VLOOKUP(A19,Dataset!A:R,18,0)</f>
        <v>63.6</v>
      </c>
      <c r="E19" s="1">
        <f>VLOOKUP(A19,Dataset!A:T,20,0)</f>
        <v>128.6</v>
      </c>
      <c r="F19" s="1">
        <f>VLOOKUP(A19,Dataset!A:V,22,0)</f>
        <v>63.6</v>
      </c>
    </row>
    <row r="20" spans="1:6" ht="14.5" x14ac:dyDescent="0.35">
      <c r="A20" s="7" t="s">
        <v>28</v>
      </c>
      <c r="B20" s="1">
        <f>VLOOKUP(A20,Dataset!A:G,7,0)</f>
        <v>0</v>
      </c>
      <c r="C20" s="1">
        <f>VLOOKUP(A20,Dataset!A:N,14,0)</f>
        <v>0</v>
      </c>
      <c r="D20" s="1">
        <f>VLOOKUP(A20,Dataset!A:R,18,0)</f>
        <v>0</v>
      </c>
      <c r="E20" s="1">
        <f>VLOOKUP(A20,Dataset!A:T,20,0)</f>
        <v>0</v>
      </c>
      <c r="F20" s="1">
        <f>VLOOKUP(A20,Dataset!A:V,22,0)</f>
        <v>0</v>
      </c>
    </row>
    <row r="21" spans="1:6" ht="14.5" x14ac:dyDescent="0.35">
      <c r="A21" s="7" t="s">
        <v>56</v>
      </c>
      <c r="B21" s="1">
        <f>VLOOKUP(A21,Dataset!A:G,7,0)</f>
        <v>41.3</v>
      </c>
      <c r="C21" s="1">
        <f>VLOOKUP(A21,Dataset!A:N,14,0)</f>
        <v>124.4</v>
      </c>
      <c r="D21" s="1">
        <f>VLOOKUP(A21,Dataset!A:R,18,0)</f>
        <v>75</v>
      </c>
      <c r="E21" s="1">
        <f>VLOOKUP(A21,Dataset!A:T,20,0)</f>
        <v>151.5</v>
      </c>
      <c r="F21" s="1">
        <f>VLOOKUP(A21,Dataset!A:V,22,0)</f>
        <v>75</v>
      </c>
    </row>
    <row r="22" spans="1:6" ht="14.5" x14ac:dyDescent="0.35">
      <c r="A22" s="7" t="s">
        <v>57</v>
      </c>
      <c r="B22" s="1">
        <f>VLOOKUP(A22,Dataset!A:G,7,0)</f>
        <v>-1</v>
      </c>
      <c r="C22" s="1">
        <f>VLOOKUP(A22,Dataset!A:N,14,0)</f>
        <v>-1</v>
      </c>
      <c r="D22" s="1">
        <f>VLOOKUP(A22,Dataset!A:R,18,0)</f>
        <v>-1</v>
      </c>
      <c r="E22" s="1">
        <f>VLOOKUP(A22,Dataset!A:T,20,0)</f>
        <v>-1</v>
      </c>
      <c r="F22" s="1">
        <f>VLOOKUP(A22,Dataset!A:V,22,0)</f>
        <v>-1</v>
      </c>
    </row>
    <row r="23" spans="1:6" ht="14.5" x14ac:dyDescent="0.35">
      <c r="A23" s="7" t="s">
        <v>31</v>
      </c>
      <c r="B23" s="1">
        <f>VLOOKUP(A23,Dataset!A:G,7,0)</f>
        <v>45</v>
      </c>
      <c r="C23" s="1">
        <f>VLOOKUP(A23,Dataset!A:N,14,0)</f>
        <v>133.4</v>
      </c>
      <c r="D23" s="1">
        <f>VLOOKUP(A23,Dataset!A:R,18,0)</f>
        <v>79.400000000000006</v>
      </c>
      <c r="E23" s="1">
        <f>VLOOKUP(A23,Dataset!A:T,20,0)</f>
        <v>160.9</v>
      </c>
      <c r="F23" s="1">
        <f>VLOOKUP(A23,Dataset!A:V,22,0)</f>
        <v>79.400000000000006</v>
      </c>
    </row>
    <row r="24" spans="1:6" ht="14.5" x14ac:dyDescent="0.35">
      <c r="A24" s="7" t="s">
        <v>32</v>
      </c>
      <c r="B24" s="1">
        <f>VLOOKUP(A24,Dataset!A:G,7,0)</f>
        <v>-1</v>
      </c>
      <c r="C24" s="1">
        <f>VLOOKUP(A24,Dataset!A:N,14,0)</f>
        <v>-1</v>
      </c>
      <c r="D24" s="1">
        <f>VLOOKUP(A24,Dataset!A:R,18,0)</f>
        <v>-1</v>
      </c>
      <c r="E24" s="1">
        <f>VLOOKUP(A24,Dataset!A:T,20,0)</f>
        <v>-1</v>
      </c>
      <c r="F24" s="1">
        <f>VLOOKUP(A24,Dataset!A:V,22,0)</f>
        <v>-1</v>
      </c>
    </row>
    <row r="25" spans="1:6" ht="14.5" x14ac:dyDescent="0.35">
      <c r="A25" s="7" t="s">
        <v>34</v>
      </c>
      <c r="B25" s="1">
        <f>VLOOKUP(A25,Dataset!A:G,7,0)</f>
        <v>43.3</v>
      </c>
      <c r="C25" s="1">
        <f>VLOOKUP(A25,Dataset!A:N,14,0)</f>
        <v>128.6</v>
      </c>
      <c r="D25" s="1">
        <f>VLOOKUP(A25,Dataset!A:R,18,0)</f>
        <v>79.400000000000006</v>
      </c>
      <c r="E25" s="1">
        <f>VLOOKUP(A25,Dataset!A:T,20,0)</f>
        <v>160.9</v>
      </c>
      <c r="F25" s="1">
        <f>VLOOKUP(A25,Dataset!A:V,22,0)</f>
        <v>79.400000000000006</v>
      </c>
    </row>
    <row r="26" spans="1:6" ht="14.5" x14ac:dyDescent="0.35">
      <c r="A26" s="7" t="s">
        <v>37</v>
      </c>
      <c r="B26" s="1">
        <f>VLOOKUP(A26,Dataset!A:G,7,0)</f>
        <v>49.1</v>
      </c>
      <c r="C26" s="1">
        <f>VLOOKUP(A26,Dataset!A:N,14,0)</f>
        <v>146.80000000000001</v>
      </c>
      <c r="D26" s="1">
        <f>VLOOKUP(A26,Dataset!A:R,18,0)</f>
        <v>90.9</v>
      </c>
      <c r="E26" s="1">
        <f>VLOOKUP(A26,Dataset!A:T,20,0)</f>
        <v>183.5</v>
      </c>
      <c r="F26" s="1">
        <f>VLOOKUP(A26,Dataset!A:V,22,0)</f>
        <v>90.9</v>
      </c>
    </row>
    <row r="27" spans="1:6" ht="14.5" x14ac:dyDescent="0.35">
      <c r="A27" s="7" t="s">
        <v>39</v>
      </c>
      <c r="B27" s="1">
        <f>VLOOKUP(A27,Dataset!A:G,7,0)</f>
        <v>51.8</v>
      </c>
      <c r="C27" s="1">
        <f>VLOOKUP(A27,Dataset!A:N,14,0)</f>
        <v>156.4</v>
      </c>
      <c r="D27" s="1">
        <f>VLOOKUP(A27,Dataset!A:R,18,0)</f>
        <v>93.1</v>
      </c>
      <c r="E27" s="1">
        <f>VLOOKUP(A27,Dataset!A:T,20,0)</f>
        <v>188.1</v>
      </c>
      <c r="F27" s="1">
        <f>VLOOKUP(A27,Dataset!A:V,22,0)</f>
        <v>93.1</v>
      </c>
    </row>
    <row r="28" spans="1:6" ht="14.5" x14ac:dyDescent="0.35">
      <c r="A28" s="18" t="s">
        <v>81</v>
      </c>
      <c r="B28" s="30">
        <f>MIN(C6:C27)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5" x14ac:dyDescent="0.35">
      <c r="A29" s="18" t="s">
        <v>82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5" x14ac:dyDescent="0.35">
      <c r="A30" s="18" t="s">
        <v>83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5" zoomScaleNormal="100" workbookViewId="0">
      <selection activeCell="C14" sqref="C14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55</v>
      </c>
      <c r="B1" s="40" t="s">
        <v>172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149</v>
      </c>
    </row>
    <row r="5" spans="1:10" ht="18.5" x14ac:dyDescent="0.45">
      <c r="A5" s="42" t="s">
        <v>52</v>
      </c>
      <c r="B5" s="39" t="s">
        <v>179</v>
      </c>
    </row>
    <row r="6" spans="1:10" ht="18.5" x14ac:dyDescent="0.45">
      <c r="A6" s="42" t="s">
        <v>151</v>
      </c>
      <c r="B6" s="39" t="s">
        <v>180</v>
      </c>
    </row>
    <row r="7" spans="1:10" ht="18.5" x14ac:dyDescent="0.45">
      <c r="A7" s="42"/>
      <c r="B7" s="39"/>
    </row>
    <row r="9" spans="1:10" ht="23.5" x14ac:dyDescent="0.55000000000000004">
      <c r="A9" s="17" t="s">
        <v>163</v>
      </c>
      <c r="I9" s="2"/>
      <c r="J9" s="2"/>
    </row>
    <row r="10" spans="1:10" x14ac:dyDescent="0.35">
      <c r="A10" s="32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35">
      <c r="A11" s="8" t="s">
        <v>119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160</v>
      </c>
    </row>
    <row r="15" spans="1:10" x14ac:dyDescent="0.35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35">
      <c r="A16" s="7" t="s">
        <v>119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120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121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122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123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124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125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126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127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128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129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130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131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132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133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134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135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136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137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138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139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140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141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142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143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144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145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146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147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148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110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111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112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113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114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115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116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117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118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abSelected="1" topLeftCell="A10" zoomScaleNormal="100" workbookViewId="0">
      <selection activeCell="F20" sqref="F20"/>
    </sheetView>
  </sheetViews>
  <sheetFormatPr defaultColWidth="11" defaultRowHeight="13" x14ac:dyDescent="0.3"/>
  <cols>
    <col min="1" max="1" width="28.19921875" style="2" bestFit="1" customWidth="1"/>
    <col min="2" max="2" width="32.8984375" style="2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84</v>
      </c>
      <c r="B1" s="40" t="s">
        <v>165</v>
      </c>
    </row>
    <row r="2" spans="1:3" ht="18.5" x14ac:dyDescent="0.45">
      <c r="B2" s="39" t="s">
        <v>164</v>
      </c>
    </row>
    <row r="5" spans="1:3" ht="14.5" x14ac:dyDescent="0.35">
      <c r="B5" s="1" t="s">
        <v>149</v>
      </c>
    </row>
    <row r="6" spans="1:3" ht="14.5" x14ac:dyDescent="0.35">
      <c r="A6" s="3" t="s">
        <v>52</v>
      </c>
      <c r="B6" s="1" t="s">
        <v>182</v>
      </c>
    </row>
    <row r="7" spans="1:3" ht="14.5" x14ac:dyDescent="0.35">
      <c r="A7" s="3" t="s">
        <v>151</v>
      </c>
      <c r="B7" s="1"/>
    </row>
    <row r="10" spans="1:3" ht="23.5" x14ac:dyDescent="0.55000000000000004">
      <c r="A10" s="17" t="s">
        <v>160</v>
      </c>
    </row>
    <row r="11" spans="1:3" ht="14.5" x14ac:dyDescent="0.35">
      <c r="A11" s="31" t="s">
        <v>85</v>
      </c>
      <c r="B11" s="16" t="s">
        <v>86</v>
      </c>
      <c r="C11" s="16" t="s">
        <v>87</v>
      </c>
    </row>
    <row r="12" spans="1:3" ht="14.5" x14ac:dyDescent="0.35">
      <c r="A12" s="31">
        <v>44927</v>
      </c>
      <c r="B12" s="16" t="s">
        <v>58</v>
      </c>
      <c r="C12" s="16">
        <v>200</v>
      </c>
    </row>
    <row r="13" spans="1:3" ht="14.5" x14ac:dyDescent="0.35">
      <c r="A13" s="31">
        <v>44928</v>
      </c>
      <c r="B13" s="16" t="s">
        <v>59</v>
      </c>
      <c r="C13" s="16" t="e">
        <v>#N/A</v>
      </c>
    </row>
    <row r="14" spans="1:3" ht="14.5" x14ac:dyDescent="0.35">
      <c r="A14" s="31">
        <v>44929</v>
      </c>
      <c r="B14" s="16" t="s">
        <v>60</v>
      </c>
      <c r="C14" s="16">
        <v>50</v>
      </c>
    </row>
    <row r="15" spans="1:3" ht="14.5" x14ac:dyDescent="0.35">
      <c r="A15" s="31">
        <v>44930</v>
      </c>
      <c r="B15" s="16" t="s">
        <v>61</v>
      </c>
      <c r="C15" s="16" t="e">
        <v>#N/A</v>
      </c>
    </row>
    <row r="16" spans="1:3" ht="14.5" x14ac:dyDescent="0.35">
      <c r="A16" s="31">
        <v>44931</v>
      </c>
      <c r="B16" s="16" t="s">
        <v>62</v>
      </c>
      <c r="C16" s="16">
        <v>10</v>
      </c>
    </row>
    <row r="17" spans="1:3" ht="14.5" x14ac:dyDescent="0.35">
      <c r="A17" s="31">
        <v>44932</v>
      </c>
      <c r="B17" s="16" t="s">
        <v>152</v>
      </c>
      <c r="C17" s="16">
        <v>150</v>
      </c>
    </row>
    <row r="18" spans="1:3" ht="14.5" x14ac:dyDescent="0.35">
      <c r="A18" s="31">
        <v>44933</v>
      </c>
      <c r="B18" s="16" t="s">
        <v>153</v>
      </c>
      <c r="C18" s="16">
        <v>80</v>
      </c>
    </row>
    <row r="19" spans="1:3" ht="14.5" x14ac:dyDescent="0.35">
      <c r="A19" s="31">
        <v>44934</v>
      </c>
      <c r="B19" s="16" t="s">
        <v>154</v>
      </c>
      <c r="C19" s="16" t="e">
        <v>#N/A</v>
      </c>
    </row>
    <row r="20" spans="1:3" ht="14.5" x14ac:dyDescent="0.35">
      <c r="A20" s="31">
        <v>44935</v>
      </c>
      <c r="B20" s="16" t="s">
        <v>155</v>
      </c>
      <c r="C20" s="16">
        <v>30</v>
      </c>
    </row>
    <row r="21" spans="1:3" ht="14.5" x14ac:dyDescent="0.35">
      <c r="A21" s="31">
        <v>44936</v>
      </c>
      <c r="B21" s="16" t="s">
        <v>156</v>
      </c>
      <c r="C21" s="16" t="e">
        <v>#N/A</v>
      </c>
    </row>
    <row r="22" spans="1:3" ht="14.5" x14ac:dyDescent="0.35">
      <c r="B22" s="16" t="s">
        <v>157</v>
      </c>
      <c r="C22" s="24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97</v>
      </c>
      <c r="B1" s="40" t="s">
        <v>173</v>
      </c>
    </row>
    <row r="3" spans="1:14" ht="14.5" x14ac:dyDescent="0.35">
      <c r="B3" s="1" t="s">
        <v>149</v>
      </c>
    </row>
    <row r="4" spans="1:14" ht="18.5" x14ac:dyDescent="0.45">
      <c r="A4" s="42" t="s">
        <v>52</v>
      </c>
      <c r="B4" s="1"/>
    </row>
    <row r="5" spans="1:14" ht="18.5" x14ac:dyDescent="0.45">
      <c r="A5" s="42" t="s">
        <v>151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160</v>
      </c>
      <c r="M8" s="17" t="s">
        <v>161</v>
      </c>
    </row>
    <row r="9" spans="1:14" ht="14.5" x14ac:dyDescent="0.35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5" x14ac:dyDescent="0.35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5" x14ac:dyDescent="0.35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5" x14ac:dyDescent="0.35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5" x14ac:dyDescent="0.35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5" x14ac:dyDescent="0.35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5" x14ac:dyDescent="0.35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5" x14ac:dyDescent="0.35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5" x14ac:dyDescent="0.35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5" x14ac:dyDescent="0.35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5" x14ac:dyDescent="0.55000000000000004">
      <c r="A21" s="17" t="s">
        <v>166</v>
      </c>
    </row>
    <row r="22" spans="1:14" ht="14.5" x14ac:dyDescent="0.35">
      <c r="A22" s="13" t="s">
        <v>99</v>
      </c>
      <c r="B22" s="16" t="s">
        <v>100</v>
      </c>
      <c r="C22" s="15" t="s">
        <v>101</v>
      </c>
    </row>
    <row r="23" spans="1:14" ht="14.5" x14ac:dyDescent="0.35">
      <c r="A23" s="7">
        <v>10100</v>
      </c>
      <c r="B23" s="11">
        <v>10102</v>
      </c>
      <c r="C23" s="43">
        <f>INDEX($B$10:$J$18, MATCH(VLOOKUP(A23, $M$10:$N$18, 2, FALSE), $A$10:$A$18, 0), MATCH(VLOOKUP(B23, $M$10:$N$18, 2, FALSE), $B$9:$J$9, 0))</f>
        <v>95</v>
      </c>
    </row>
    <row r="24" spans="1:14" ht="14.5" x14ac:dyDescent="0.35">
      <c r="A24" s="7">
        <v>10100</v>
      </c>
      <c r="B24" s="11">
        <v>10104</v>
      </c>
      <c r="C24" s="43">
        <f t="shared" ref="C24:C35" si="0">INDEX($B$10:$J$18, MATCH(VLOOKUP(A24, $M$10:$N$18, 2, FALSE), $A$10:$A$18, 0), MATCH(VLOOKUP(B24, $M$10:$N$18, 2, FALSE), $B$9:$J$9, 0))</f>
        <v>-1</v>
      </c>
    </row>
    <row r="25" spans="1:14" ht="14.5" x14ac:dyDescent="0.35">
      <c r="A25" s="7">
        <v>10108</v>
      </c>
      <c r="B25" s="11">
        <v>10102</v>
      </c>
      <c r="C25" s="43">
        <f t="shared" si="0"/>
        <v>160</v>
      </c>
    </row>
    <row r="26" spans="1:14" ht="14.5" x14ac:dyDescent="0.35">
      <c r="A26" s="7">
        <v>10100</v>
      </c>
      <c r="B26" s="11">
        <v>10106</v>
      </c>
      <c r="C26" s="43">
        <f t="shared" si="0"/>
        <v>185</v>
      </c>
    </row>
    <row r="27" spans="1:14" ht="14.5" x14ac:dyDescent="0.35">
      <c r="A27" s="7">
        <v>10108</v>
      </c>
      <c r="B27" s="11">
        <v>10110</v>
      </c>
      <c r="C27" s="43">
        <f t="shared" si="0"/>
        <v>50</v>
      </c>
    </row>
    <row r="28" spans="1:14" ht="14.5" x14ac:dyDescent="0.35">
      <c r="A28" s="7">
        <v>10102</v>
      </c>
      <c r="B28" s="11">
        <v>10104</v>
      </c>
      <c r="C28" s="43">
        <f t="shared" si="0"/>
        <v>-1</v>
      </c>
    </row>
    <row r="29" spans="1:14" ht="14.5" x14ac:dyDescent="0.35">
      <c r="A29" s="7">
        <v>10106</v>
      </c>
      <c r="B29" s="11">
        <v>10108</v>
      </c>
      <c r="C29" s="43">
        <f t="shared" si="0"/>
        <v>70</v>
      </c>
    </row>
    <row r="30" spans="1:14" ht="14.5" x14ac:dyDescent="0.35">
      <c r="A30" s="7">
        <v>10102</v>
      </c>
      <c r="B30" s="11">
        <v>10106</v>
      </c>
      <c r="C30" s="43">
        <f t="shared" si="0"/>
        <v>90</v>
      </c>
    </row>
    <row r="31" spans="1:14" ht="14.5" x14ac:dyDescent="0.35">
      <c r="A31" s="7">
        <v>10110</v>
      </c>
      <c r="B31" s="11">
        <v>10114</v>
      </c>
      <c r="C31" s="43">
        <f t="shared" si="0"/>
        <v>180</v>
      </c>
    </row>
    <row r="32" spans="1:14" ht="14.5" x14ac:dyDescent="0.35">
      <c r="A32" s="7">
        <v>10104</v>
      </c>
      <c r="B32" s="11">
        <v>10106</v>
      </c>
      <c r="C32" s="43">
        <f t="shared" si="0"/>
        <v>60</v>
      </c>
    </row>
    <row r="33" spans="1:3" ht="14.5" x14ac:dyDescent="0.35">
      <c r="A33" s="7">
        <v>10110</v>
      </c>
      <c r="B33" s="11">
        <v>10112</v>
      </c>
      <c r="C33" s="43">
        <f t="shared" si="0"/>
        <v>115</v>
      </c>
    </row>
    <row r="34" spans="1:3" ht="14.5" x14ac:dyDescent="0.35">
      <c r="A34" s="7">
        <v>10100</v>
      </c>
      <c r="B34" s="11">
        <v>10114</v>
      </c>
      <c r="C34" s="43">
        <f t="shared" si="0"/>
        <v>480</v>
      </c>
    </row>
    <row r="35" spans="1:3" ht="14.5" x14ac:dyDescent="0.35">
      <c r="A35" s="8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Satish Dongare</cp:lastModifiedBy>
  <dcterms:created xsi:type="dcterms:W3CDTF">2015-02-10T17:33:11Z</dcterms:created>
  <dcterms:modified xsi:type="dcterms:W3CDTF">2024-10-24T18:25:16Z</dcterms:modified>
</cp:coreProperties>
</file>